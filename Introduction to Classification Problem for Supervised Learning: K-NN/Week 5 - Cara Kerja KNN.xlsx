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<sst xmlns="http://schemas.openxmlformats.org/spreadsheetml/2006/main" count="222" uniqueCount="29">
  <si>
    <t xml:space="preserve">Cara Kerja KNN</t>
  </si>
  <si>
    <t xml:space="preserve">1. Persiapan Data</t>
  </si>
  <si>
    <t xml:space="preserve">ID</t>
  </si>
  <si>
    <t xml:space="preserve">X1</t>
  </si>
  <si>
    <t xml:space="preserve">X2</t>
  </si>
  <si>
    <t xml:space="preserve">Y</t>
  </si>
  <si>
    <t xml:space="preserve">Titik baru </t>
  </si>
  <si>
    <t xml:space="preserve">A</t>
  </si>
  <si>
    <t xml:space="preserve">X1 = 4</t>
  </si>
  <si>
    <t xml:space="preserve">X2 = 5</t>
  </si>
  <si>
    <t xml:space="preserve">B</t>
  </si>
  <si>
    <t xml:space="preserve">2. Pengukuran Jarak</t>
  </si>
  <si>
    <t xml:space="preserve">3 - 6 Pemilihan Jumlah Tetangga (K = 3) dan identifikasi tetangga terdekat</t>
  </si>
  <si>
    <t xml:space="preserve">4. Visualisasi Persebaran Data (BEFORE)</t>
  </si>
  <si>
    <t xml:space="preserve">Menggunakan jarak euclidean, untuk menghitung jarak antara titik baru (X1 = 4, X2 = 5) dari setiap titik data.</t>
  </si>
  <si>
    <t xml:space="preserve"># Urutkan data berdasarkan jarak dari yang terkecil</t>
  </si>
  <si>
    <t xml:space="preserve"># Tentukan 3 tetangga terdekat</t>
  </si>
  <si>
    <t xml:space="preserve">ID 14 = Jarak 2 = Kelas A</t>
  </si>
  <si>
    <t xml:space="preserve">ID 5 = Jarak 2.236 = Kelas B</t>
  </si>
  <si>
    <t xml:space="preserve">ID = Jarak 2.236 = Kelas B</t>
  </si>
  <si>
    <t xml:space="preserve">Jarak dari (4,5)</t>
  </si>
  <si>
    <t xml:space="preserve">Mayoritas adalah B (2 suara B, 1 suara A)</t>
  </si>
  <si>
    <r>
      <rPr>
        <sz val="11"/>
        <color rgb="FF000000"/>
        <rFont val="Calibri"/>
        <family val="2"/>
        <charset val="1"/>
      </rPr>
      <t xml:space="preserve">Maka titik baru (X1 = 4, X2 = 5) akan diklasifikasikan ke kelas B berdasarkan algoritma</t>
    </r>
    <r>
      <rPr>
        <b val="true"/>
        <sz val="11"/>
        <color rgb="FF000000"/>
        <rFont val="Calibri"/>
        <family val="2"/>
        <charset val="1"/>
      </rPr>
      <t xml:space="preserve"> KNN </t>
    </r>
    <r>
      <rPr>
        <sz val="11"/>
        <color rgb="FF000000"/>
        <rFont val="Calibri"/>
        <family val="2"/>
        <charset val="1"/>
      </rPr>
      <t xml:space="preserve">dengan </t>
    </r>
    <r>
      <rPr>
        <b val="true"/>
        <sz val="11"/>
        <color rgb="FF000000"/>
        <rFont val="Calibri"/>
        <family val="2"/>
        <charset val="1"/>
      </rPr>
      <t xml:space="preserve">K = 3</t>
    </r>
  </si>
  <si>
    <t xml:space="preserve">Visualisasi Persebaran Data Setelah Menggunakan Model KNN (AFTER)</t>
  </si>
  <si>
    <t xml:space="preserve">Jarak dari (5,6)</t>
  </si>
  <si>
    <t xml:space="preserve">mayoritas A berdasarkan algoritma KNN dengan K = 5</t>
  </si>
  <si>
    <t xml:space="preserve">MENGGUNAKAN CARA MANHATTAN</t>
  </si>
  <si>
    <t xml:space="preserve">Data awal</t>
  </si>
  <si>
    <t xml:space="preserve">Jarak dari (6,5)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</si>
</sst>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rgb="FF00206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C00000"/>
      <name val="Calibri"/>
      <family val="2"/>
      <charset val="1"/>
    </font>
    <font>
      <b val="true"/>
      <sz val="20"/>
      <color rgb="FF000000"/>
      <name val="Calibri"/>
      <family val="2"/>
      <charset val="1"/>
    </font>
    <font>
      <b val="true"/>
      <sz val="22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DBB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DBB6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Visualisasi Persebaran Data (BEFORE)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"A"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5b9bd5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Sheet1!$D$6:$D$8,Sheet1!$D$12:$D$13,Sheet1!$D$15,Sheet1!$D$18:$D$19,Sheet1!$D$22:$D$23,Sheet1!$D$25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Sheet1!$E$6:$E$8,Sheet1!$E$12:$E$13,Sheet1!$E$15,Sheet1!$E$18:$E$19,Sheet1!$E$22:$E$23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"B"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ed7d31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Sheet1!$D$9:$D$11,Sheet1!$D$14,Sheet1!$D$16:$D$17,Sheet1!$D$20:$D$21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Sheet1!$E$9:$E$11,Sheet1!$E$14,Sheet1!$E$16:$E$17,Sheet1!$E$20:$E$21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</c:numCache>
            </c:numRef>
          </c:yVal>
          <c:smooth val="0"/>
        </c:ser>
        <c:axId val="81843474"/>
        <c:axId val="78134044"/>
      </c:scatterChart>
      <c:valAx>
        <c:axId val="8184347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134044"/>
        <c:crosses val="autoZero"/>
        <c:crossBetween val="midCat"/>
      </c:valAx>
      <c:valAx>
        <c:axId val="781340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84347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Visualisasi Data KNN, K= 3 (AFTER)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"A"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5b9bd5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Sheet1!$AB$38,Sheet1!$AB$41,Sheet1!$AB$44:$AB$45,Sheet1!$AB$49:$AB$51,Sheet1!$AB$53:$AB$55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</c:numCache>
            </c:numRef>
          </c:xVal>
          <c:yVal>
            <c:numRef>
              <c:f>Sheet1!$AC$38,Sheet1!$AC$41,Sheet1!$AC$44:$AC$45,Sheet1!$AC$49:$AC$51,Sheet1!$AC$53:$AC$55</c:f>
              <c:numCache>
                <c:formatCode>General</c:formatCode>
                <c:ptCount val="10"/>
                <c:pt idx="0">
                  <c:v>7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  <c:pt idx="8">
                  <c:v>9</c:v>
                </c:pt>
                <c:pt idx="9">
                  <c:v>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"B"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ed7d31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Sheet1!$AB$39:$AB$40,Sheet1!$AB$42:$AB$43,Sheet1!$AB$46:$AB$48</c:f>
              <c:numCache>
                <c:formatCode>General</c:formatCode>
                <c:ptCount val="7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Sheet1!$AC$39:$AC$40,Sheet1!$AC$42:$AC$43,Sheet1!$AC$46:$AC$48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</c:numCache>
            </c:numRef>
          </c:yVal>
          <c:smooth val="0"/>
        </c:ser>
        <c:axId val="97559197"/>
        <c:axId val="28317315"/>
      </c:scatterChart>
      <c:valAx>
        <c:axId val="9755919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8317315"/>
        <c:crosses val="autoZero"/>
        <c:crossBetween val="midCat"/>
      </c:valAx>
      <c:valAx>
        <c:axId val="2831731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55919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11</xdr:row>
      <xdr:rowOff>95400</xdr:rowOff>
    </xdr:from>
    <xdr:to>
      <xdr:col>12</xdr:col>
      <xdr:colOff>66600</xdr:colOff>
      <xdr:row>13</xdr:row>
      <xdr:rowOff>132840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5635800" y="2781360"/>
          <a:ext cx="436140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31</xdr:col>
      <xdr:colOff>607320</xdr:colOff>
      <xdr:row>10</xdr:row>
      <xdr:rowOff>0</xdr:rowOff>
    </xdr:from>
    <xdr:to>
      <xdr:col>39</xdr:col>
      <xdr:colOff>329760</xdr:colOff>
      <xdr:row>23</xdr:row>
      <xdr:rowOff>23400</xdr:rowOff>
    </xdr:to>
    <xdr:graphicFrame>
      <xdr:nvGraphicFramePr>
        <xdr:cNvPr id="1" name="Chart 9"/>
        <xdr:cNvGraphicFramePr/>
      </xdr:nvGraphicFramePr>
      <xdr:xfrm>
        <a:off x="25465680" y="2495520"/>
        <a:ext cx="5798160" cy="255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31</xdr:col>
      <xdr:colOff>604800</xdr:colOff>
      <xdr:row>37</xdr:row>
      <xdr:rowOff>24120</xdr:rowOff>
    </xdr:from>
    <xdr:to>
      <xdr:col>39</xdr:col>
      <xdr:colOff>272880</xdr:colOff>
      <xdr:row>51</xdr:row>
      <xdr:rowOff>99720</xdr:rowOff>
    </xdr:to>
    <xdr:graphicFrame>
      <xdr:nvGraphicFramePr>
        <xdr:cNvPr id="2" name="Chart 10"/>
        <xdr:cNvGraphicFramePr/>
      </xdr:nvGraphicFramePr>
      <xdr:xfrm>
        <a:off x="25463160" y="7909560"/>
        <a:ext cx="5743800" cy="301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33</xdr:col>
      <xdr:colOff>165600</xdr:colOff>
      <xdr:row>41</xdr:row>
      <xdr:rowOff>140760</xdr:rowOff>
    </xdr:from>
    <xdr:to>
      <xdr:col>35</xdr:col>
      <xdr:colOff>82080</xdr:colOff>
      <xdr:row>47</xdr:row>
      <xdr:rowOff>124200</xdr:rowOff>
    </xdr:to>
    <xdr:sp>
      <xdr:nvSpPr>
        <xdr:cNvPr id="3" name="Freeform 11"/>
        <xdr:cNvSpPr/>
      </xdr:nvSpPr>
      <xdr:spPr>
        <a:xfrm>
          <a:off x="26542800" y="9134280"/>
          <a:ext cx="1435320" cy="1064880"/>
        </a:xfrm>
        <a:custGeom>
          <a:avLst/>
          <a:gdLst/>
          <a:ahLst/>
          <a:rect l="l" t="t" r="r" b="b"/>
          <a:pathLst>
            <a:path w="1143000" h="1127264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 w="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AE85"/>
  <sheetViews>
    <sheetView showFormulas="false" showGridLines="true" showRowColHeaders="true" showZeros="true" rightToLeft="false" tabSelected="true" showOutlineSymbols="true" defaultGridColor="true" view="normal" topLeftCell="A22" colorId="64" zoomScale="64" zoomScaleNormal="64" zoomScalePageLayoutView="100" workbookViewId="0">
      <selection pane="topLeft" activeCell="G18" activeCellId="0" sqref="G18"/>
    </sheetView>
  </sheetViews>
  <sheetFormatPr defaultColWidth="8.54296875" defaultRowHeight="15" zeroHeight="false" outlineLevelRow="0" outlineLevelCol="0"/>
  <cols>
    <col collapsed="false" customWidth="true" hidden="false" outlineLevel="0" max="7" min="7" style="0" width="12.13"/>
    <col collapsed="false" customWidth="true" hidden="false" outlineLevel="0" max="12" min="12" style="0" width="14.14"/>
    <col collapsed="false" customWidth="true" hidden="false" outlineLevel="0" max="19" min="19" style="0" width="14.14"/>
  </cols>
  <sheetData>
    <row r="2" customFormat="false" ht="46.5" hidden="false" customHeight="false" outlineLevel="0" collapsed="false">
      <c r="J2" s="1" t="s">
        <v>0</v>
      </c>
      <c r="K2" s="1"/>
      <c r="L2" s="1"/>
      <c r="M2" s="1"/>
      <c r="N2" s="1"/>
    </row>
    <row r="4" customFormat="false" ht="15" hidden="false" customHeight="false" outlineLevel="0" collapsed="false">
      <c r="C4" s="2" t="s">
        <v>1</v>
      </c>
    </row>
    <row r="5" customFormat="false" ht="30" hidden="false" customHeight="false" outlineLevel="0" collapsed="false">
      <c r="C5" s="3" t="s">
        <v>2</v>
      </c>
      <c r="D5" s="3" t="s">
        <v>3</v>
      </c>
      <c r="E5" s="3" t="s">
        <v>4</v>
      </c>
      <c r="F5" s="3" t="s">
        <v>5</v>
      </c>
      <c r="H5" s="4" t="s">
        <v>6</v>
      </c>
    </row>
    <row r="6" customFormat="false" ht="15" hidden="false" customHeight="false" outlineLevel="0" collapsed="false">
      <c r="C6" s="5" t="n">
        <v>1</v>
      </c>
      <c r="D6" s="5" t="n">
        <v>1</v>
      </c>
      <c r="E6" s="5" t="n">
        <v>1</v>
      </c>
      <c r="F6" s="5" t="s">
        <v>7</v>
      </c>
      <c r="H6" s="6" t="s">
        <v>8</v>
      </c>
    </row>
    <row r="7" customFormat="false" ht="15" hidden="false" customHeight="false" outlineLevel="0" collapsed="false">
      <c r="C7" s="5" t="n">
        <v>2</v>
      </c>
      <c r="D7" s="5" t="n">
        <v>2</v>
      </c>
      <c r="E7" s="5" t="n">
        <v>1</v>
      </c>
      <c r="F7" s="5" t="s">
        <v>7</v>
      </c>
      <c r="H7" s="6" t="s">
        <v>9</v>
      </c>
    </row>
    <row r="8" customFormat="false" ht="15" hidden="false" customHeight="false" outlineLevel="0" collapsed="false">
      <c r="C8" s="5" t="n">
        <v>3</v>
      </c>
      <c r="D8" s="5" t="n">
        <v>3</v>
      </c>
      <c r="E8" s="5" t="n">
        <v>2</v>
      </c>
      <c r="F8" s="5" t="s">
        <v>7</v>
      </c>
    </row>
    <row r="9" customFormat="false" ht="15" hidden="false" customHeight="true" outlineLevel="0" collapsed="false">
      <c r="C9" s="5" t="n">
        <v>4</v>
      </c>
      <c r="D9" s="5" t="n">
        <v>4</v>
      </c>
      <c r="E9" s="5" t="n">
        <v>2</v>
      </c>
      <c r="F9" s="5" t="s">
        <v>10</v>
      </c>
      <c r="H9" s="7" t="s">
        <v>11</v>
      </c>
      <c r="I9" s="7"/>
      <c r="O9" s="8" t="s">
        <v>12</v>
      </c>
      <c r="P9" s="8"/>
      <c r="Q9" s="8"/>
      <c r="R9" s="8"/>
      <c r="S9" s="8"/>
      <c r="AA9" s="7" t="s">
        <v>13</v>
      </c>
      <c r="AB9" s="7"/>
      <c r="AC9" s="7"/>
      <c r="AD9" s="7"/>
    </row>
    <row r="10" customFormat="false" ht="15" hidden="false" customHeight="true" outlineLevel="0" collapsed="false">
      <c r="C10" s="5" t="n">
        <v>5</v>
      </c>
      <c r="D10" s="5" t="n">
        <v>5</v>
      </c>
      <c r="E10" s="5" t="n">
        <v>3</v>
      </c>
      <c r="F10" s="5" t="s">
        <v>10</v>
      </c>
      <c r="H10" s="9" t="s">
        <v>14</v>
      </c>
      <c r="I10" s="9"/>
      <c r="J10" s="9"/>
      <c r="K10" s="9"/>
      <c r="L10" s="9"/>
      <c r="M10" s="9"/>
      <c r="O10" s="8"/>
      <c r="P10" s="8"/>
      <c r="Q10" s="8"/>
      <c r="R10" s="8"/>
      <c r="S10" s="8"/>
    </row>
    <row r="11" customFormat="false" ht="15" hidden="false" customHeight="false" outlineLevel="0" collapsed="false">
      <c r="C11" s="5" t="n">
        <v>6</v>
      </c>
      <c r="D11" s="5" t="n">
        <v>6</v>
      </c>
      <c r="E11" s="5" t="n">
        <v>3</v>
      </c>
      <c r="F11" s="5" t="s">
        <v>10</v>
      </c>
      <c r="H11" s="9"/>
      <c r="I11" s="9"/>
      <c r="J11" s="9"/>
      <c r="K11" s="9"/>
      <c r="L11" s="9"/>
      <c r="M11" s="9"/>
      <c r="O11" s="0" t="s">
        <v>15</v>
      </c>
      <c r="AA11" s="3" t="s">
        <v>2</v>
      </c>
      <c r="AB11" s="3" t="s">
        <v>3</v>
      </c>
      <c r="AC11" s="3" t="s">
        <v>4</v>
      </c>
      <c r="AD11" s="3" t="s">
        <v>5</v>
      </c>
    </row>
    <row r="12" customFormat="false" ht="15" hidden="false" customHeight="false" outlineLevel="0" collapsed="false">
      <c r="C12" s="5" t="n">
        <v>7</v>
      </c>
      <c r="D12" s="5" t="n">
        <v>7</v>
      </c>
      <c r="E12" s="5" t="n">
        <v>4</v>
      </c>
      <c r="F12" s="5" t="s">
        <v>7</v>
      </c>
      <c r="H12" s="10"/>
      <c r="O12" s="0" t="s">
        <v>16</v>
      </c>
      <c r="AA12" s="5" t="n">
        <v>1</v>
      </c>
      <c r="AB12" s="5" t="n">
        <v>1</v>
      </c>
      <c r="AC12" s="5" t="n">
        <v>1</v>
      </c>
      <c r="AD12" s="5" t="s">
        <v>7</v>
      </c>
    </row>
    <row r="13" customFormat="false" ht="15" hidden="false" customHeight="false" outlineLevel="0" collapsed="false">
      <c r="C13" s="5" t="n">
        <v>8</v>
      </c>
      <c r="D13" s="5" t="n">
        <v>8</v>
      </c>
      <c r="E13" s="5" t="n">
        <v>4</v>
      </c>
      <c r="F13" s="5" t="s">
        <v>7</v>
      </c>
      <c r="O13" s="0" t="s">
        <v>17</v>
      </c>
      <c r="AA13" s="5" t="n">
        <v>2</v>
      </c>
      <c r="AB13" s="5" t="n">
        <v>2</v>
      </c>
      <c r="AC13" s="5" t="n">
        <v>1</v>
      </c>
      <c r="AD13" s="5" t="s">
        <v>7</v>
      </c>
    </row>
    <row r="14" customFormat="false" ht="15" hidden="false" customHeight="false" outlineLevel="0" collapsed="false">
      <c r="C14" s="5" t="n">
        <v>9</v>
      </c>
      <c r="D14" s="5" t="n">
        <v>9</v>
      </c>
      <c r="E14" s="5" t="n">
        <v>5</v>
      </c>
      <c r="F14" s="5" t="s">
        <v>10</v>
      </c>
      <c r="O14" s="0" t="s">
        <v>18</v>
      </c>
      <c r="AA14" s="5" t="n">
        <v>3</v>
      </c>
      <c r="AB14" s="5" t="n">
        <v>3</v>
      </c>
      <c r="AC14" s="5" t="n">
        <v>2</v>
      </c>
      <c r="AD14" s="5" t="s">
        <v>7</v>
      </c>
    </row>
    <row r="15" customFormat="false" ht="15" hidden="false" customHeight="false" outlineLevel="0" collapsed="false">
      <c r="C15" s="5" t="n">
        <v>10</v>
      </c>
      <c r="D15" s="5" t="n">
        <v>10</v>
      </c>
      <c r="E15" s="5" t="n">
        <v>5</v>
      </c>
      <c r="F15" s="5" t="s">
        <v>7</v>
      </c>
      <c r="O15" s="0" t="s">
        <v>19</v>
      </c>
      <c r="AA15" s="5" t="n">
        <v>4</v>
      </c>
      <c r="AB15" s="5" t="n">
        <v>4</v>
      </c>
      <c r="AC15" s="5" t="n">
        <v>2</v>
      </c>
      <c r="AD15" s="5" t="s">
        <v>10</v>
      </c>
    </row>
    <row r="16" customFormat="false" ht="19.5" hidden="false" customHeight="true" outlineLevel="0" collapsed="false">
      <c r="C16" s="5" t="n">
        <v>11</v>
      </c>
      <c r="D16" s="5" t="n">
        <v>1</v>
      </c>
      <c r="E16" s="5" t="n">
        <v>6</v>
      </c>
      <c r="F16" s="5" t="s">
        <v>10</v>
      </c>
      <c r="AA16" s="5" t="n">
        <v>5</v>
      </c>
      <c r="AB16" s="5" t="n">
        <v>5</v>
      </c>
      <c r="AC16" s="5" t="n">
        <v>3</v>
      </c>
      <c r="AD16" s="5" t="s">
        <v>10</v>
      </c>
    </row>
    <row r="17" customFormat="false" ht="15" hidden="false" customHeight="false" outlineLevel="0" collapsed="false">
      <c r="C17" s="5" t="n">
        <v>12</v>
      </c>
      <c r="D17" s="5" t="n">
        <v>2</v>
      </c>
      <c r="E17" s="5" t="n">
        <v>6</v>
      </c>
      <c r="F17" s="5" t="s">
        <v>10</v>
      </c>
      <c r="H17" s="3" t="s">
        <v>2</v>
      </c>
      <c r="I17" s="3" t="s">
        <v>3</v>
      </c>
      <c r="J17" s="3" t="s">
        <v>4</v>
      </c>
      <c r="K17" s="3" t="s">
        <v>5</v>
      </c>
      <c r="L17" s="3" t="s">
        <v>20</v>
      </c>
      <c r="O17" s="3" t="s">
        <v>2</v>
      </c>
      <c r="P17" s="3" t="s">
        <v>3</v>
      </c>
      <c r="Q17" s="3" t="s">
        <v>4</v>
      </c>
      <c r="R17" s="3" t="s">
        <v>5</v>
      </c>
      <c r="S17" s="3" t="s">
        <v>20</v>
      </c>
      <c r="AA17" s="5" t="n">
        <v>6</v>
      </c>
      <c r="AB17" s="5" t="n">
        <v>6</v>
      </c>
      <c r="AC17" s="5" t="n">
        <v>3</v>
      </c>
      <c r="AD17" s="5" t="s">
        <v>10</v>
      </c>
    </row>
    <row r="18" customFormat="false" ht="15" hidden="false" customHeight="false" outlineLevel="0" collapsed="false">
      <c r="C18" s="5" t="n">
        <v>13</v>
      </c>
      <c r="D18" s="5" t="n">
        <v>3</v>
      </c>
      <c r="E18" s="5" t="n">
        <v>7</v>
      </c>
      <c r="F18" s="5" t="s">
        <v>7</v>
      </c>
      <c r="H18" s="5" t="n">
        <v>1</v>
      </c>
      <c r="I18" s="5" t="n">
        <v>1</v>
      </c>
      <c r="J18" s="5" t="n">
        <v>1</v>
      </c>
      <c r="K18" s="5" t="s">
        <v>7</v>
      </c>
      <c r="L18" s="11" t="n">
        <f aca="false">SQRT((I18-4)^2+(J18-5)^2)</f>
        <v>5</v>
      </c>
      <c r="O18" s="12" t="n">
        <v>14</v>
      </c>
      <c r="P18" s="12" t="n">
        <v>4</v>
      </c>
      <c r="Q18" s="12" t="n">
        <v>7</v>
      </c>
      <c r="R18" s="12" t="s">
        <v>7</v>
      </c>
      <c r="S18" s="13" t="n">
        <f aca="false">SQRT((P18-4)^2+(Q18-5)^2)</f>
        <v>2</v>
      </c>
      <c r="AA18" s="5" t="n">
        <v>7</v>
      </c>
      <c r="AB18" s="5" t="n">
        <v>7</v>
      </c>
      <c r="AC18" s="5" t="n">
        <v>4</v>
      </c>
      <c r="AD18" s="5" t="s">
        <v>7</v>
      </c>
    </row>
    <row r="19" customFormat="false" ht="15" hidden="false" customHeight="false" outlineLevel="0" collapsed="false">
      <c r="C19" s="5" t="n">
        <v>14</v>
      </c>
      <c r="D19" s="5" t="n">
        <v>4</v>
      </c>
      <c r="E19" s="5" t="n">
        <v>7</v>
      </c>
      <c r="F19" s="5" t="s">
        <v>7</v>
      </c>
      <c r="H19" s="5" t="n">
        <v>2</v>
      </c>
      <c r="I19" s="5" t="n">
        <v>2</v>
      </c>
      <c r="J19" s="5" t="n">
        <v>1</v>
      </c>
      <c r="K19" s="5" t="s">
        <v>7</v>
      </c>
      <c r="L19" s="11" t="n">
        <f aca="false">SQRT((I19-4)^2+(J19-5)^2)</f>
        <v>4.47213595499958</v>
      </c>
      <c r="O19" s="12" t="n">
        <v>5</v>
      </c>
      <c r="P19" s="12" t="n">
        <v>5</v>
      </c>
      <c r="Q19" s="12" t="n">
        <v>3</v>
      </c>
      <c r="R19" s="12" t="s">
        <v>10</v>
      </c>
      <c r="S19" s="13" t="n">
        <f aca="false">SQRT((P19-4)^2+(Q19-5)^2)</f>
        <v>2.23606797749979</v>
      </c>
      <c r="AA19" s="5" t="n">
        <v>8</v>
      </c>
      <c r="AB19" s="5" t="n">
        <v>8</v>
      </c>
      <c r="AC19" s="5" t="n">
        <v>4</v>
      </c>
      <c r="AD19" s="5" t="s">
        <v>7</v>
      </c>
    </row>
    <row r="20" customFormat="false" ht="15" hidden="false" customHeight="false" outlineLevel="0" collapsed="false">
      <c r="C20" s="5" t="n">
        <v>15</v>
      </c>
      <c r="D20" s="5" t="n">
        <v>5</v>
      </c>
      <c r="E20" s="5" t="n">
        <v>8</v>
      </c>
      <c r="F20" s="5" t="s">
        <v>10</v>
      </c>
      <c r="H20" s="5" t="n">
        <v>3</v>
      </c>
      <c r="I20" s="5" t="n">
        <v>3</v>
      </c>
      <c r="J20" s="5" t="n">
        <v>2</v>
      </c>
      <c r="K20" s="5" t="s">
        <v>7</v>
      </c>
      <c r="L20" s="11" t="n">
        <f aca="false">SQRT((I20-4)^2+(J20-5)^2)</f>
        <v>3.16227766016838</v>
      </c>
      <c r="O20" s="12" t="n">
        <v>12</v>
      </c>
      <c r="P20" s="12" t="n">
        <v>2</v>
      </c>
      <c r="Q20" s="12" t="n">
        <v>6</v>
      </c>
      <c r="R20" s="12" t="s">
        <v>10</v>
      </c>
      <c r="S20" s="13" t="n">
        <f aca="false">SQRT((P20-4)^2+(Q20-5)^2)</f>
        <v>2.23606797749979</v>
      </c>
      <c r="AA20" s="5" t="n">
        <v>9</v>
      </c>
      <c r="AB20" s="5" t="n">
        <v>9</v>
      </c>
      <c r="AC20" s="5" t="n">
        <v>5</v>
      </c>
      <c r="AD20" s="5" t="s">
        <v>10</v>
      </c>
    </row>
    <row r="21" customFormat="false" ht="15" hidden="false" customHeight="false" outlineLevel="0" collapsed="false">
      <c r="C21" s="5" t="n">
        <v>16</v>
      </c>
      <c r="D21" s="5" t="n">
        <v>6</v>
      </c>
      <c r="E21" s="5" t="n">
        <v>8</v>
      </c>
      <c r="F21" s="5" t="s">
        <v>10</v>
      </c>
      <c r="H21" s="5" t="n">
        <v>4</v>
      </c>
      <c r="I21" s="5" t="n">
        <v>4</v>
      </c>
      <c r="J21" s="5" t="n">
        <v>2</v>
      </c>
      <c r="K21" s="5" t="s">
        <v>10</v>
      </c>
      <c r="L21" s="11" t="n">
        <f aca="false">SQRT((I21-4)^2+(J21-5)^2)</f>
        <v>3</v>
      </c>
      <c r="O21" s="5" t="n">
        <v>13</v>
      </c>
      <c r="P21" s="5" t="n">
        <v>3</v>
      </c>
      <c r="Q21" s="5" t="n">
        <v>7</v>
      </c>
      <c r="R21" s="5" t="s">
        <v>7</v>
      </c>
      <c r="S21" s="11" t="n">
        <f aca="false">SQRT((P21-4)^2+(Q21-5)^2)</f>
        <v>2.23606797749979</v>
      </c>
      <c r="AA21" s="5" t="n">
        <v>10</v>
      </c>
      <c r="AB21" s="5" t="n">
        <v>10</v>
      </c>
      <c r="AC21" s="5" t="n">
        <v>5</v>
      </c>
      <c r="AD21" s="5" t="s">
        <v>7</v>
      </c>
    </row>
    <row r="22" customFormat="false" ht="15" hidden="false" customHeight="false" outlineLevel="0" collapsed="false">
      <c r="C22" s="5" t="n">
        <v>17</v>
      </c>
      <c r="D22" s="5" t="n">
        <v>7</v>
      </c>
      <c r="E22" s="5" t="n">
        <v>9</v>
      </c>
      <c r="F22" s="5" t="s">
        <v>7</v>
      </c>
      <c r="H22" s="5" t="n">
        <v>5</v>
      </c>
      <c r="I22" s="5" t="n">
        <v>5</v>
      </c>
      <c r="J22" s="5" t="n">
        <v>3</v>
      </c>
      <c r="K22" s="5" t="s">
        <v>10</v>
      </c>
      <c r="L22" s="11" t="n">
        <f aca="false">SQRT((I22-4)^2+(J22-5)^2)</f>
        <v>2.23606797749979</v>
      </c>
      <c r="O22" s="5" t="n">
        <v>6</v>
      </c>
      <c r="P22" s="5" t="n">
        <v>6</v>
      </c>
      <c r="Q22" s="5" t="n">
        <v>3</v>
      </c>
      <c r="R22" s="5" t="s">
        <v>10</v>
      </c>
      <c r="S22" s="11" t="n">
        <f aca="false">SQRT((P22-4)^2+(Q22-5)^2)</f>
        <v>2.82842712474619</v>
      </c>
      <c r="AA22" s="5" t="n">
        <v>11</v>
      </c>
      <c r="AB22" s="5" t="n">
        <v>1</v>
      </c>
      <c r="AC22" s="5" t="n">
        <v>6</v>
      </c>
      <c r="AD22" s="5" t="s">
        <v>10</v>
      </c>
    </row>
    <row r="23" customFormat="false" ht="14.9" hidden="false" customHeight="false" outlineLevel="0" collapsed="false">
      <c r="C23" s="5" t="n">
        <v>18</v>
      </c>
      <c r="D23" s="5" t="n">
        <v>8</v>
      </c>
      <c r="E23" s="5" t="n">
        <v>9</v>
      </c>
      <c r="F23" s="5" t="s">
        <v>7</v>
      </c>
      <c r="H23" s="5" t="n">
        <v>6</v>
      </c>
      <c r="I23" s="5" t="n">
        <v>6</v>
      </c>
      <c r="J23" s="5" t="n">
        <v>3</v>
      </c>
      <c r="K23" s="5" t="s">
        <v>10</v>
      </c>
      <c r="L23" s="11" t="n">
        <f aca="false">SQRT((I23-4)^2+(J23-5)^2)</f>
        <v>2.82842712474619</v>
      </c>
      <c r="P23" s="5" t="n">
        <v>4</v>
      </c>
      <c r="Q23" s="5" t="n">
        <v>2</v>
      </c>
      <c r="R23" s="5" t="s">
        <v>10</v>
      </c>
      <c r="S23" s="11" t="n">
        <f aca="false">SQRT((P23-4)^2+(Q23-5)^2)</f>
        <v>3</v>
      </c>
      <c r="AA23" s="5" t="n">
        <v>12</v>
      </c>
      <c r="AB23" s="5" t="n">
        <v>2</v>
      </c>
      <c r="AC23" s="5" t="n">
        <v>6</v>
      </c>
      <c r="AD23" s="5" t="s">
        <v>10</v>
      </c>
    </row>
    <row r="24" customFormat="false" ht="15" hidden="false" customHeight="false" outlineLevel="0" collapsed="false">
      <c r="C24" s="5" t="n">
        <v>19</v>
      </c>
      <c r="D24" s="5" t="n">
        <v>9</v>
      </c>
      <c r="E24" s="5" t="n">
        <v>10</v>
      </c>
      <c r="F24" s="5" t="s">
        <v>10</v>
      </c>
      <c r="H24" s="5" t="n">
        <v>7</v>
      </c>
      <c r="I24" s="5" t="n">
        <v>7</v>
      </c>
      <c r="J24" s="5" t="n">
        <v>4</v>
      </c>
      <c r="K24" s="5" t="s">
        <v>7</v>
      </c>
      <c r="L24" s="11" t="n">
        <f aca="false">SQRT((I24-4)^2+(J24-5)^2)</f>
        <v>3.16227766016838</v>
      </c>
      <c r="O24" s="5" t="n">
        <v>3</v>
      </c>
      <c r="P24" s="5" t="n">
        <v>3</v>
      </c>
      <c r="Q24" s="5" t="n">
        <v>2</v>
      </c>
      <c r="R24" s="5" t="s">
        <v>7</v>
      </c>
      <c r="S24" s="11" t="n">
        <f aca="false">SQRT((P24-4)^2+(Q24-5)^2)</f>
        <v>3.16227766016838</v>
      </c>
      <c r="AA24" s="5" t="n">
        <v>13</v>
      </c>
      <c r="AB24" s="5" t="n">
        <v>3</v>
      </c>
      <c r="AC24" s="5" t="n">
        <v>7</v>
      </c>
      <c r="AD24" s="5" t="s">
        <v>7</v>
      </c>
    </row>
    <row r="25" customFormat="false" ht="15" hidden="false" customHeight="false" outlineLevel="0" collapsed="false">
      <c r="C25" s="5" t="n">
        <v>20</v>
      </c>
      <c r="D25" s="5" t="n">
        <v>10</v>
      </c>
      <c r="E25" s="5" t="n">
        <v>10</v>
      </c>
      <c r="F25" s="5" t="s">
        <v>7</v>
      </c>
      <c r="H25" s="5" t="n">
        <v>8</v>
      </c>
      <c r="I25" s="5" t="n">
        <v>8</v>
      </c>
      <c r="J25" s="5" t="n">
        <v>4</v>
      </c>
      <c r="K25" s="5" t="s">
        <v>7</v>
      </c>
      <c r="L25" s="11" t="n">
        <f aca="false">SQRT((I25-4)^2+(J25-5)^2)</f>
        <v>4.12310562561766</v>
      </c>
      <c r="O25" s="5" t="n">
        <v>7</v>
      </c>
      <c r="P25" s="5" t="n">
        <v>7</v>
      </c>
      <c r="Q25" s="5" t="n">
        <v>4</v>
      </c>
      <c r="R25" s="5" t="s">
        <v>7</v>
      </c>
      <c r="S25" s="11" t="n">
        <f aca="false">SQRT((P25-4)^2+(Q25-5)^2)</f>
        <v>3.16227766016838</v>
      </c>
      <c r="U25" s="0" t="s">
        <v>21</v>
      </c>
      <c r="AA25" s="5" t="n">
        <v>14</v>
      </c>
      <c r="AB25" s="5" t="n">
        <v>4</v>
      </c>
      <c r="AC25" s="5" t="n">
        <v>7</v>
      </c>
      <c r="AD25" s="5" t="s">
        <v>7</v>
      </c>
    </row>
    <row r="26" customFormat="false" ht="15" hidden="false" customHeight="true" outlineLevel="0" collapsed="false">
      <c r="H26" s="5" t="n">
        <v>9</v>
      </c>
      <c r="I26" s="5" t="n">
        <v>9</v>
      </c>
      <c r="J26" s="5" t="n">
        <v>5</v>
      </c>
      <c r="K26" s="5" t="s">
        <v>10</v>
      </c>
      <c r="L26" s="11" t="n">
        <f aca="false">SQRT((I26-4)^2+(J26-5)^2)</f>
        <v>5</v>
      </c>
      <c r="O26" s="5" t="n">
        <v>11</v>
      </c>
      <c r="P26" s="5" t="n">
        <v>1</v>
      </c>
      <c r="Q26" s="5" t="n">
        <v>6</v>
      </c>
      <c r="R26" s="5" t="s">
        <v>10</v>
      </c>
      <c r="S26" s="11" t="n">
        <f aca="false">SQRT((P26-4)^2+(Q26-5)^2)</f>
        <v>3.16227766016838</v>
      </c>
      <c r="U26" s="9" t="s">
        <v>22</v>
      </c>
      <c r="V26" s="9"/>
      <c r="W26" s="9"/>
      <c r="X26" s="9"/>
      <c r="Y26" s="9"/>
      <c r="Z26" s="9"/>
      <c r="AA26" s="5" t="n">
        <v>15</v>
      </c>
      <c r="AB26" s="5" t="n">
        <v>5</v>
      </c>
      <c r="AC26" s="5" t="n">
        <v>8</v>
      </c>
      <c r="AD26" s="5" t="s">
        <v>10</v>
      </c>
    </row>
    <row r="27" customFormat="false" ht="15" hidden="false" customHeight="false" outlineLevel="0" collapsed="false">
      <c r="H27" s="5" t="n">
        <v>10</v>
      </c>
      <c r="I27" s="5" t="n">
        <v>10</v>
      </c>
      <c r="J27" s="5" t="n">
        <v>5</v>
      </c>
      <c r="K27" s="5" t="s">
        <v>7</v>
      </c>
      <c r="L27" s="11" t="n">
        <f aca="false">SQRT((I27-4)^2+(J27-5)^2)</f>
        <v>6</v>
      </c>
      <c r="O27" s="5" t="n">
        <v>15</v>
      </c>
      <c r="P27" s="5" t="n">
        <v>5</v>
      </c>
      <c r="Q27" s="5" t="n">
        <v>8</v>
      </c>
      <c r="R27" s="5" t="s">
        <v>10</v>
      </c>
      <c r="S27" s="11" t="n">
        <f aca="false">SQRT((P27-4)^2+(Q27-5)^2)</f>
        <v>3.16227766016838</v>
      </c>
      <c r="U27" s="9"/>
      <c r="V27" s="9"/>
      <c r="W27" s="9"/>
      <c r="X27" s="9"/>
      <c r="Y27" s="9"/>
      <c r="Z27" s="9"/>
      <c r="AA27" s="5" t="n">
        <v>16</v>
      </c>
      <c r="AB27" s="5" t="n">
        <v>6</v>
      </c>
      <c r="AC27" s="5" t="n">
        <v>8</v>
      </c>
      <c r="AD27" s="5" t="s">
        <v>10</v>
      </c>
    </row>
    <row r="28" customFormat="false" ht="15" hidden="false" customHeight="false" outlineLevel="0" collapsed="false">
      <c r="H28" s="5" t="n">
        <v>11</v>
      </c>
      <c r="I28" s="5" t="n">
        <v>1</v>
      </c>
      <c r="J28" s="5" t="n">
        <v>6</v>
      </c>
      <c r="K28" s="5" t="s">
        <v>10</v>
      </c>
      <c r="L28" s="11" t="n">
        <f aca="false">SQRT((I28-4)^2+(J28-5)^2)</f>
        <v>3.16227766016838</v>
      </c>
      <c r="O28" s="5" t="n">
        <v>16</v>
      </c>
      <c r="P28" s="5" t="n">
        <v>6</v>
      </c>
      <c r="Q28" s="5" t="n">
        <v>8</v>
      </c>
      <c r="R28" s="5" t="s">
        <v>10</v>
      </c>
      <c r="S28" s="11" t="n">
        <f aca="false">SQRT((P28-4)^2+(Q28-5)^2)</f>
        <v>3.60555127546399</v>
      </c>
      <c r="AA28" s="5" t="n">
        <v>17</v>
      </c>
      <c r="AB28" s="5" t="n">
        <v>7</v>
      </c>
      <c r="AC28" s="5" t="n">
        <v>9</v>
      </c>
      <c r="AD28" s="5" t="s">
        <v>7</v>
      </c>
    </row>
    <row r="29" customFormat="false" ht="15" hidden="false" customHeight="false" outlineLevel="0" collapsed="false">
      <c r="H29" s="5" t="n">
        <v>12</v>
      </c>
      <c r="I29" s="5" t="n">
        <v>2</v>
      </c>
      <c r="J29" s="5" t="n">
        <v>6</v>
      </c>
      <c r="K29" s="5" t="s">
        <v>10</v>
      </c>
      <c r="L29" s="11" t="n">
        <f aca="false">SQRT((I29-4)^2+(J29-5)^2)</f>
        <v>2.23606797749979</v>
      </c>
      <c r="O29" s="5" t="n">
        <v>8</v>
      </c>
      <c r="P29" s="5" t="n">
        <v>8</v>
      </c>
      <c r="Q29" s="5" t="n">
        <v>4</v>
      </c>
      <c r="R29" s="5" t="s">
        <v>7</v>
      </c>
      <c r="S29" s="11" t="n">
        <f aca="false">SQRT((P29-4)^2+(Q29-5)^2)</f>
        <v>4.12310562561766</v>
      </c>
      <c r="AA29" s="5" t="n">
        <v>18</v>
      </c>
      <c r="AB29" s="5" t="n">
        <v>8</v>
      </c>
      <c r="AC29" s="5" t="n">
        <v>9</v>
      </c>
      <c r="AD29" s="5" t="s">
        <v>7</v>
      </c>
    </row>
    <row r="30" customFormat="false" ht="15" hidden="false" customHeight="false" outlineLevel="0" collapsed="false">
      <c r="H30" s="5" t="n">
        <v>13</v>
      </c>
      <c r="I30" s="5" t="n">
        <v>3</v>
      </c>
      <c r="J30" s="5" t="n">
        <v>7</v>
      </c>
      <c r="K30" s="5" t="s">
        <v>7</v>
      </c>
      <c r="L30" s="11" t="n">
        <f aca="false">SQRT((I30-4)^2+(J30-5)^2)</f>
        <v>2.23606797749979</v>
      </c>
      <c r="O30" s="5" t="n">
        <v>2</v>
      </c>
      <c r="P30" s="5" t="n">
        <v>2</v>
      </c>
      <c r="Q30" s="5" t="n">
        <v>1</v>
      </c>
      <c r="R30" s="5" t="s">
        <v>7</v>
      </c>
      <c r="S30" s="11" t="n">
        <f aca="false">SQRT((P30-4)^2+(Q30-5)^2)</f>
        <v>4.47213595499958</v>
      </c>
      <c r="AA30" s="5" t="n">
        <v>19</v>
      </c>
      <c r="AB30" s="5" t="n">
        <v>9</v>
      </c>
      <c r="AC30" s="5" t="n">
        <v>10</v>
      </c>
      <c r="AD30" s="5" t="s">
        <v>10</v>
      </c>
    </row>
    <row r="31" customFormat="false" ht="15" hidden="false" customHeight="false" outlineLevel="0" collapsed="false">
      <c r="H31" s="5" t="n">
        <v>14</v>
      </c>
      <c r="I31" s="5" t="n">
        <v>4</v>
      </c>
      <c r="J31" s="5" t="n">
        <v>7</v>
      </c>
      <c r="K31" s="5" t="s">
        <v>7</v>
      </c>
      <c r="L31" s="11" t="n">
        <f aca="false">SQRT((I31-4)^2+(J31-5)^2)</f>
        <v>2</v>
      </c>
      <c r="O31" s="5" t="n">
        <v>1</v>
      </c>
      <c r="P31" s="5" t="n">
        <v>1</v>
      </c>
      <c r="Q31" s="5" t="n">
        <v>1</v>
      </c>
      <c r="R31" s="5" t="s">
        <v>7</v>
      </c>
      <c r="S31" s="11" t="n">
        <f aca="false">SQRT((P31-4)^2+(Q31-5)^2)</f>
        <v>5</v>
      </c>
      <c r="AA31" s="5" t="n">
        <v>20</v>
      </c>
      <c r="AB31" s="5" t="n">
        <v>10</v>
      </c>
      <c r="AC31" s="5" t="n">
        <v>10</v>
      </c>
      <c r="AD31" s="5" t="s">
        <v>7</v>
      </c>
    </row>
    <row r="32" customFormat="false" ht="15" hidden="false" customHeight="false" outlineLevel="0" collapsed="false">
      <c r="H32" s="5" t="n">
        <v>15</v>
      </c>
      <c r="I32" s="5" t="n">
        <v>5</v>
      </c>
      <c r="J32" s="5" t="n">
        <v>8</v>
      </c>
      <c r="K32" s="5" t="s">
        <v>10</v>
      </c>
      <c r="L32" s="11" t="n">
        <f aca="false">SQRT((I32-4)^2+(J32-5)^2)</f>
        <v>3.16227766016838</v>
      </c>
      <c r="O32" s="5" t="n">
        <v>9</v>
      </c>
      <c r="P32" s="5" t="n">
        <v>9</v>
      </c>
      <c r="Q32" s="5" t="n">
        <v>5</v>
      </c>
      <c r="R32" s="5" t="s">
        <v>10</v>
      </c>
      <c r="S32" s="11" t="n">
        <f aca="false">SQRT((P32-4)^2+(Q32-5)^2)</f>
        <v>5</v>
      </c>
    </row>
    <row r="33" customFormat="false" ht="15" hidden="false" customHeight="false" outlineLevel="0" collapsed="false">
      <c r="H33" s="5" t="n">
        <v>16</v>
      </c>
      <c r="I33" s="5" t="n">
        <v>6</v>
      </c>
      <c r="J33" s="5" t="n">
        <v>8</v>
      </c>
      <c r="K33" s="5" t="s">
        <v>10</v>
      </c>
      <c r="L33" s="11" t="n">
        <f aca="false">SQRT((I33-4)^2+(J33-5)^2)</f>
        <v>3.60555127546399</v>
      </c>
      <c r="O33" s="5" t="n">
        <v>17</v>
      </c>
      <c r="P33" s="5" t="n">
        <v>7</v>
      </c>
      <c r="Q33" s="5" t="n">
        <v>9</v>
      </c>
      <c r="R33" s="5" t="s">
        <v>7</v>
      </c>
      <c r="S33" s="11" t="n">
        <f aca="false">SQRT((P33-4)^2+(Q33-5)^2)</f>
        <v>5</v>
      </c>
    </row>
    <row r="34" customFormat="false" ht="15" hidden="false" customHeight="true" outlineLevel="0" collapsed="false">
      <c r="H34" s="5" t="n">
        <v>17</v>
      </c>
      <c r="I34" s="5" t="n">
        <v>7</v>
      </c>
      <c r="J34" s="5" t="n">
        <v>9</v>
      </c>
      <c r="K34" s="5" t="s">
        <v>7</v>
      </c>
      <c r="L34" s="11" t="n">
        <f aca="false">SQRT((I34-4)^2+(J34-5)^2)</f>
        <v>5</v>
      </c>
      <c r="O34" s="5" t="n">
        <v>18</v>
      </c>
      <c r="P34" s="5" t="n">
        <v>8</v>
      </c>
      <c r="Q34" s="5" t="n">
        <v>9</v>
      </c>
      <c r="R34" s="5" t="s">
        <v>7</v>
      </c>
      <c r="S34" s="11" t="n">
        <f aca="false">SQRT((P34-4)^2+(Q34-5)^2)</f>
        <v>5.65685424949238</v>
      </c>
      <c r="AA34" s="14" t="s">
        <v>23</v>
      </c>
      <c r="AB34" s="14"/>
      <c r="AC34" s="14"/>
      <c r="AD34" s="14"/>
    </row>
    <row r="35" customFormat="false" ht="15" hidden="false" customHeight="false" outlineLevel="0" collapsed="false">
      <c r="H35" s="5" t="n">
        <v>18</v>
      </c>
      <c r="I35" s="5" t="n">
        <v>8</v>
      </c>
      <c r="J35" s="5" t="n">
        <v>9</v>
      </c>
      <c r="K35" s="5" t="s">
        <v>7</v>
      </c>
      <c r="L35" s="11" t="n">
        <f aca="false">SQRT((I35-4)^2+(J35-5)^2)</f>
        <v>5.65685424949238</v>
      </c>
      <c r="O35" s="5" t="n">
        <v>10</v>
      </c>
      <c r="P35" s="5" t="n">
        <v>10</v>
      </c>
      <c r="Q35" s="5" t="n">
        <v>5</v>
      </c>
      <c r="R35" s="5" t="s">
        <v>7</v>
      </c>
      <c r="S35" s="11" t="n">
        <f aca="false">SQRT((P35-4)^2+(Q35-5)^2)</f>
        <v>6</v>
      </c>
      <c r="AA35" s="14"/>
      <c r="AB35" s="14"/>
      <c r="AC35" s="14"/>
      <c r="AD35" s="14"/>
    </row>
    <row r="36" customFormat="false" ht="15" hidden="false" customHeight="false" outlineLevel="0" collapsed="false">
      <c r="H36" s="5" t="n">
        <v>19</v>
      </c>
      <c r="I36" s="5" t="n">
        <v>9</v>
      </c>
      <c r="J36" s="5" t="n">
        <v>10</v>
      </c>
      <c r="K36" s="5" t="s">
        <v>10</v>
      </c>
      <c r="L36" s="11" t="n">
        <f aca="false">SQRT((I36-4)^2+(J36-5)^2)</f>
        <v>7.07106781186548</v>
      </c>
      <c r="O36" s="5" t="n">
        <v>19</v>
      </c>
      <c r="P36" s="5" t="n">
        <v>9</v>
      </c>
      <c r="Q36" s="5" t="n">
        <v>10</v>
      </c>
      <c r="R36" s="5" t="s">
        <v>10</v>
      </c>
      <c r="S36" s="11" t="n">
        <f aca="false">SQRT((P36-4)^2+(Q36-5)^2)</f>
        <v>7.07106781186548</v>
      </c>
    </row>
    <row r="37" customFormat="false" ht="30" hidden="false" customHeight="false" outlineLevel="0" collapsed="false">
      <c r="H37" s="5" t="n">
        <v>20</v>
      </c>
      <c r="I37" s="5" t="n">
        <v>10</v>
      </c>
      <c r="J37" s="5" t="n">
        <v>10</v>
      </c>
      <c r="K37" s="5" t="s">
        <v>7</v>
      </c>
      <c r="L37" s="11" t="n">
        <f aca="false">SQRT((I37-4)^2+(J37-5)^2)</f>
        <v>7.81024967590665</v>
      </c>
      <c r="O37" s="5" t="n">
        <v>20</v>
      </c>
      <c r="P37" s="5" t="n">
        <v>10</v>
      </c>
      <c r="Q37" s="5" t="n">
        <v>10</v>
      </c>
      <c r="R37" s="5" t="s">
        <v>7</v>
      </c>
      <c r="S37" s="11" t="n">
        <f aca="false">SQRT((P37-4)^2+(Q37-5)^2)</f>
        <v>7.81024967590665</v>
      </c>
      <c r="AA37" s="3" t="s">
        <v>2</v>
      </c>
      <c r="AB37" s="3" t="s">
        <v>3</v>
      </c>
      <c r="AC37" s="3" t="s">
        <v>4</v>
      </c>
      <c r="AD37" s="3" t="s">
        <v>5</v>
      </c>
      <c r="AE37" s="3" t="s">
        <v>20</v>
      </c>
    </row>
    <row r="38" customFormat="false" ht="15" hidden="false" customHeight="false" outlineLevel="0" collapsed="false">
      <c r="AA38" s="12" t="n">
        <v>14</v>
      </c>
      <c r="AB38" s="12" t="n">
        <v>4</v>
      </c>
      <c r="AC38" s="12" t="n">
        <v>7</v>
      </c>
      <c r="AD38" s="12" t="s">
        <v>7</v>
      </c>
      <c r="AE38" s="13" t="n">
        <f aca="false">SQRT((AB38-4)^2+(AC38-5)^2)</f>
        <v>2</v>
      </c>
    </row>
    <row r="39" customFormat="false" ht="15" hidden="false" customHeight="false" outlineLevel="0" collapsed="false">
      <c r="AA39" s="12" t="n">
        <v>5</v>
      </c>
      <c r="AB39" s="12" t="n">
        <v>5</v>
      </c>
      <c r="AC39" s="12" t="n">
        <v>3</v>
      </c>
      <c r="AD39" s="12" t="s">
        <v>10</v>
      </c>
      <c r="AE39" s="13" t="n">
        <f aca="false">SQRT((AB39-4)^2+(AC39-5)^2)</f>
        <v>2.23606797749979</v>
      </c>
    </row>
    <row r="40" customFormat="false" ht="15" hidden="false" customHeight="false" outlineLevel="0" collapsed="false">
      <c r="AA40" s="12" t="n">
        <v>12</v>
      </c>
      <c r="AB40" s="12" t="n">
        <v>2</v>
      </c>
      <c r="AC40" s="12" t="n">
        <v>6</v>
      </c>
      <c r="AD40" s="12" t="s">
        <v>10</v>
      </c>
      <c r="AE40" s="13" t="n">
        <f aca="false">SQRT((AB40-4)^2+(AC40-5)^2)</f>
        <v>2.23606797749979</v>
      </c>
    </row>
    <row r="41" customFormat="false" ht="42.25" hidden="false" customHeight="false" outlineLevel="0" collapsed="false">
      <c r="C41" s="3" t="s">
        <v>2</v>
      </c>
      <c r="D41" s="3" t="s">
        <v>3</v>
      </c>
      <c r="E41" s="3" t="s">
        <v>4</v>
      </c>
      <c r="F41" s="3" t="s">
        <v>5</v>
      </c>
      <c r="G41" s="3" t="s">
        <v>24</v>
      </c>
      <c r="AA41" s="5" t="n">
        <v>13</v>
      </c>
      <c r="AB41" s="5" t="n">
        <v>3</v>
      </c>
      <c r="AC41" s="5" t="n">
        <v>7</v>
      </c>
      <c r="AD41" s="5" t="s">
        <v>7</v>
      </c>
      <c r="AE41" s="11" t="n">
        <f aca="false">SQRT((AB41-4)^2+(AC41-5)^2)</f>
        <v>2.23606797749979</v>
      </c>
    </row>
    <row r="42" customFormat="false" ht="14.05" hidden="false" customHeight="false" outlineLevel="0" collapsed="false">
      <c r="C42" s="5" t="n">
        <v>14</v>
      </c>
      <c r="D42" s="5" t="n">
        <v>4</v>
      </c>
      <c r="E42" s="5" t="n">
        <v>7</v>
      </c>
      <c r="F42" s="5" t="s">
        <v>7</v>
      </c>
      <c r="G42" s="11" t="n">
        <f aca="false">SQRT((D42-5)^2+(E42-6)^2)</f>
        <v>1.4142135623731</v>
      </c>
      <c r="J42" s="5" t="n">
        <v>14</v>
      </c>
      <c r="K42" s="5" t="n">
        <v>4</v>
      </c>
      <c r="L42" s="5" t="n">
        <v>7</v>
      </c>
      <c r="M42" s="5" t="s">
        <v>7</v>
      </c>
      <c r="N42" s="11" t="n">
        <f aca="false">SQRT((K42-5)^2+(L42-6)^2)</f>
        <v>1.4142135623731</v>
      </c>
      <c r="AA42" s="5" t="n">
        <v>6</v>
      </c>
      <c r="AB42" s="5" t="n">
        <v>6</v>
      </c>
      <c r="AC42" s="5" t="n">
        <v>3</v>
      </c>
      <c r="AD42" s="5" t="s">
        <v>10</v>
      </c>
      <c r="AE42" s="11" t="n">
        <f aca="false">SQRT((AB42-4)^2+(AC42-5)^2)</f>
        <v>2.82842712474619</v>
      </c>
    </row>
    <row r="43" customFormat="false" ht="14.05" hidden="false" customHeight="false" outlineLevel="0" collapsed="false">
      <c r="C43" s="5" t="n">
        <v>15</v>
      </c>
      <c r="D43" s="5" t="n">
        <v>5</v>
      </c>
      <c r="E43" s="5" t="n">
        <v>8</v>
      </c>
      <c r="F43" s="5" t="s">
        <v>10</v>
      </c>
      <c r="G43" s="11" t="n">
        <f aca="false">SQRT((D43-5)^2+(E43-6)^2)</f>
        <v>2</v>
      </c>
      <c r="J43" s="5" t="n">
        <v>15</v>
      </c>
      <c r="K43" s="5" t="n">
        <v>5</v>
      </c>
      <c r="L43" s="5" t="n">
        <v>8</v>
      </c>
      <c r="M43" s="5" t="s">
        <v>10</v>
      </c>
      <c r="N43" s="11" t="n">
        <f aca="false">SQRT((K43-5)^2+(L43-6)^2)</f>
        <v>2</v>
      </c>
      <c r="AA43" s="5" t="n">
        <v>4</v>
      </c>
      <c r="AB43" s="5" t="n">
        <v>4</v>
      </c>
      <c r="AC43" s="5" t="n">
        <v>2</v>
      </c>
      <c r="AD43" s="5" t="s">
        <v>10</v>
      </c>
      <c r="AE43" s="11" t="n">
        <f aca="false">SQRT((AB43-4)^2+(AC43-5)^2)</f>
        <v>3</v>
      </c>
    </row>
    <row r="44" customFormat="false" ht="14.05" hidden="false" customHeight="false" outlineLevel="0" collapsed="false">
      <c r="C44" s="5" t="n">
        <v>13</v>
      </c>
      <c r="D44" s="5" t="n">
        <v>3</v>
      </c>
      <c r="E44" s="5" t="n">
        <v>7</v>
      </c>
      <c r="F44" s="5" t="s">
        <v>7</v>
      </c>
      <c r="G44" s="11" t="n">
        <f aca="false">SQRT((D44-5)^2+(E44-6)^2)</f>
        <v>2.23606797749979</v>
      </c>
      <c r="J44" s="5" t="n">
        <v>13</v>
      </c>
      <c r="K44" s="5" t="n">
        <v>3</v>
      </c>
      <c r="L44" s="5" t="n">
        <v>7</v>
      </c>
      <c r="M44" s="5" t="s">
        <v>7</v>
      </c>
      <c r="N44" s="11" t="n">
        <f aca="false">SQRT((K44-5)^2+(L44-6)^2)</f>
        <v>2.23606797749979</v>
      </c>
      <c r="AA44" s="5" t="n">
        <v>3</v>
      </c>
      <c r="AB44" s="5" t="n">
        <v>3</v>
      </c>
      <c r="AC44" s="5" t="n">
        <v>2</v>
      </c>
      <c r="AD44" s="5" t="s">
        <v>7</v>
      </c>
      <c r="AE44" s="11" t="n">
        <f aca="false">SQRT((AB44-4)^2+(AC44-5)^2)</f>
        <v>3.16227766016838</v>
      </c>
    </row>
    <row r="45" customFormat="false" ht="14.05" hidden="false" customHeight="false" outlineLevel="0" collapsed="false">
      <c r="C45" s="5" t="n">
        <v>16</v>
      </c>
      <c r="D45" s="5" t="n">
        <v>6</v>
      </c>
      <c r="E45" s="5" t="n">
        <v>8</v>
      </c>
      <c r="F45" s="5" t="s">
        <v>10</v>
      </c>
      <c r="G45" s="11" t="n">
        <f aca="false">SQRT((D45-5)^2+(E45-6)^2)</f>
        <v>2.23606797749979</v>
      </c>
      <c r="J45" s="5" t="n">
        <v>16</v>
      </c>
      <c r="K45" s="5" t="n">
        <v>6</v>
      </c>
      <c r="L45" s="5" t="n">
        <v>8</v>
      </c>
      <c r="M45" s="5" t="s">
        <v>10</v>
      </c>
      <c r="N45" s="11" t="n">
        <f aca="false">SQRT((K45-5)^2+(L45-6)^2)</f>
        <v>2.23606797749979</v>
      </c>
      <c r="AA45" s="5" t="n">
        <v>7</v>
      </c>
      <c r="AB45" s="5" t="n">
        <v>7</v>
      </c>
      <c r="AC45" s="5" t="n">
        <v>4</v>
      </c>
      <c r="AD45" s="5" t="s">
        <v>7</v>
      </c>
      <c r="AE45" s="11" t="n">
        <f aca="false">SQRT((AB45-4)^2+(AC45-5)^2)</f>
        <v>3.16227766016838</v>
      </c>
    </row>
    <row r="46" customFormat="false" ht="14.05" hidden="false" customHeight="false" outlineLevel="0" collapsed="false">
      <c r="C46" s="5" t="n">
        <v>7</v>
      </c>
      <c r="D46" s="5" t="n">
        <v>7</v>
      </c>
      <c r="E46" s="5" t="n">
        <v>4</v>
      </c>
      <c r="F46" s="5" t="s">
        <v>7</v>
      </c>
      <c r="G46" s="11" t="n">
        <f aca="false">SQRT((D46-5)^2+(E46-6)^2)</f>
        <v>2.82842712474619</v>
      </c>
      <c r="J46" s="5" t="n">
        <v>7</v>
      </c>
      <c r="K46" s="5" t="n">
        <v>7</v>
      </c>
      <c r="L46" s="5" t="n">
        <v>4</v>
      </c>
      <c r="M46" s="5" t="s">
        <v>7</v>
      </c>
      <c r="N46" s="11" t="n">
        <f aca="false">SQRT((K46-5)^2+(L46-6)^2)</f>
        <v>2.82842712474619</v>
      </c>
      <c r="AA46" s="5" t="n">
        <v>11</v>
      </c>
      <c r="AB46" s="5" t="n">
        <v>1</v>
      </c>
      <c r="AC46" s="5" t="n">
        <v>6</v>
      </c>
      <c r="AD46" s="5" t="s">
        <v>10</v>
      </c>
      <c r="AE46" s="11" t="n">
        <f aca="false">SQRT((AB46-4)^2+(AC46-5)^2)</f>
        <v>3.16227766016838</v>
      </c>
    </row>
    <row r="47" customFormat="false" ht="14.9" hidden="false" customHeight="false" outlineLevel="0" collapsed="false">
      <c r="C47" s="5" t="n">
        <v>5</v>
      </c>
      <c r="D47" s="5" t="n">
        <v>5</v>
      </c>
      <c r="E47" s="5" t="n">
        <v>3</v>
      </c>
      <c r="F47" s="5" t="s">
        <v>10</v>
      </c>
      <c r="G47" s="11" t="n">
        <f aca="false">SQRT((D47-5)^2+(E47-6)^2)</f>
        <v>3</v>
      </c>
      <c r="AA47" s="5" t="n">
        <v>15</v>
      </c>
      <c r="AB47" s="5" t="n">
        <v>5</v>
      </c>
      <c r="AC47" s="5" t="n">
        <v>8</v>
      </c>
      <c r="AD47" s="5" t="s">
        <v>10</v>
      </c>
      <c r="AE47" s="11" t="n">
        <f aca="false">SQRT((AB47-4)^2+(AC47-5)^2)</f>
        <v>3.16227766016838</v>
      </c>
    </row>
    <row r="48" customFormat="false" ht="14.05" hidden="false" customHeight="false" outlineLevel="0" collapsed="false">
      <c r="C48" s="5" t="n">
        <v>12</v>
      </c>
      <c r="D48" s="5" t="n">
        <v>2</v>
      </c>
      <c r="E48" s="5" t="n">
        <v>6</v>
      </c>
      <c r="F48" s="5" t="s">
        <v>10</v>
      </c>
      <c r="G48" s="11" t="n">
        <f aca="false">SQRT((D48-5)^2+(E48-6)^2)</f>
        <v>3</v>
      </c>
      <c r="J48" s="15" t="s">
        <v>25</v>
      </c>
      <c r="AA48" s="5" t="n">
        <v>16</v>
      </c>
      <c r="AB48" s="5" t="n">
        <v>6</v>
      </c>
      <c r="AC48" s="5" t="n">
        <v>8</v>
      </c>
      <c r="AD48" s="5" t="s">
        <v>10</v>
      </c>
      <c r="AE48" s="11" t="n">
        <f aca="false">SQRT((AB48-4)^2+(AC48-5)^2)</f>
        <v>3.60555127546399</v>
      </c>
    </row>
    <row r="49" customFormat="false" ht="14.9" hidden="false" customHeight="false" outlineLevel="0" collapsed="false">
      <c r="C49" s="5" t="n">
        <v>6</v>
      </c>
      <c r="D49" s="5" t="n">
        <v>6</v>
      </c>
      <c r="E49" s="5" t="n">
        <v>3</v>
      </c>
      <c r="F49" s="5" t="s">
        <v>10</v>
      </c>
      <c r="G49" s="11" t="n">
        <f aca="false">SQRT((D49-5)^2+(E49-6)^2)</f>
        <v>3.16227766016838</v>
      </c>
      <c r="AA49" s="5" t="n">
        <v>8</v>
      </c>
      <c r="AB49" s="5" t="n">
        <v>8</v>
      </c>
      <c r="AC49" s="5" t="n">
        <v>4</v>
      </c>
      <c r="AD49" s="5" t="s">
        <v>7</v>
      </c>
      <c r="AE49" s="11" t="n">
        <f aca="false">SQRT((AB49-4)^2+(AC49-5)^2)</f>
        <v>4.12310562561766</v>
      </c>
    </row>
    <row r="50" customFormat="false" ht="14.9" hidden="false" customHeight="false" outlineLevel="0" collapsed="false">
      <c r="C50" s="5" t="n">
        <v>8</v>
      </c>
      <c r="D50" s="5" t="n">
        <v>8</v>
      </c>
      <c r="E50" s="5" t="n">
        <v>4</v>
      </c>
      <c r="F50" s="5" t="s">
        <v>7</v>
      </c>
      <c r="G50" s="11" t="n">
        <f aca="false">SQRT((D50-5)^2+(E50-6)^2)</f>
        <v>3.60555127546399</v>
      </c>
      <c r="AA50" s="5" t="n">
        <v>2</v>
      </c>
      <c r="AB50" s="5" t="n">
        <v>2</v>
      </c>
      <c r="AC50" s="5" t="n">
        <v>1</v>
      </c>
      <c r="AD50" s="5" t="s">
        <v>7</v>
      </c>
      <c r="AE50" s="11" t="n">
        <f aca="false">SQRT((AB50-4)^2+(AC50-5)^2)</f>
        <v>4.47213595499958</v>
      </c>
    </row>
    <row r="51" customFormat="false" ht="14.9" hidden="false" customHeight="false" outlineLevel="0" collapsed="false">
      <c r="C51" s="5" t="n">
        <v>17</v>
      </c>
      <c r="D51" s="5" t="n">
        <v>7</v>
      </c>
      <c r="E51" s="5" t="n">
        <v>9</v>
      </c>
      <c r="F51" s="5" t="s">
        <v>7</v>
      </c>
      <c r="G51" s="11" t="n">
        <f aca="false">SQRT((D51-5)^2+(E51-6)^2)</f>
        <v>3.60555127546399</v>
      </c>
      <c r="AA51" s="5" t="n">
        <v>1</v>
      </c>
      <c r="AB51" s="5" t="n">
        <v>1</v>
      </c>
      <c r="AC51" s="5" t="n">
        <v>1</v>
      </c>
      <c r="AD51" s="5" t="s">
        <v>7</v>
      </c>
      <c r="AE51" s="11" t="n">
        <f aca="false">SQRT((AB51-4)^2+(AC51-5)^2)</f>
        <v>5</v>
      </c>
    </row>
    <row r="52" customFormat="false" ht="14.9" hidden="false" customHeight="false" outlineLevel="0" collapsed="false">
      <c r="C52" s="5" t="n">
        <v>11</v>
      </c>
      <c r="D52" s="5" t="n">
        <v>1</v>
      </c>
      <c r="E52" s="5" t="n">
        <v>6</v>
      </c>
      <c r="F52" s="5" t="s">
        <v>10</v>
      </c>
      <c r="G52" s="11" t="n">
        <f aca="false">SQRT((D52-5)^2+(E52-6)^2)</f>
        <v>4</v>
      </c>
      <c r="AA52" s="5" t="n">
        <v>9</v>
      </c>
      <c r="AB52" s="5" t="n">
        <v>9</v>
      </c>
      <c r="AC52" s="5" t="n">
        <v>5</v>
      </c>
      <c r="AD52" s="5" t="s">
        <v>10</v>
      </c>
      <c r="AE52" s="11" t="n">
        <f aca="false">SQRT((AB52-4)^2+(AC52-5)^2)</f>
        <v>5</v>
      </c>
    </row>
    <row r="53" customFormat="false" ht="14.9" hidden="false" customHeight="false" outlineLevel="0" collapsed="false">
      <c r="C53" s="5" t="n">
        <v>4</v>
      </c>
      <c r="D53" s="5" t="n">
        <v>4</v>
      </c>
      <c r="E53" s="5" t="n">
        <v>2</v>
      </c>
      <c r="F53" s="5" t="s">
        <v>10</v>
      </c>
      <c r="G53" s="11" t="n">
        <f aca="false">SQRT((D53-5)^2+(E53-6)^2)</f>
        <v>4.12310562561766</v>
      </c>
      <c r="AA53" s="5" t="n">
        <v>17</v>
      </c>
      <c r="AB53" s="5" t="n">
        <v>7</v>
      </c>
      <c r="AC53" s="5" t="n">
        <v>9</v>
      </c>
      <c r="AD53" s="5" t="s">
        <v>7</v>
      </c>
      <c r="AE53" s="11" t="n">
        <f aca="false">SQRT((AB53-4)^2+(AC53-5)^2)</f>
        <v>5</v>
      </c>
    </row>
    <row r="54" customFormat="false" ht="14.9" hidden="false" customHeight="false" outlineLevel="0" collapsed="false">
      <c r="C54" s="5" t="n">
        <v>9</v>
      </c>
      <c r="D54" s="5" t="n">
        <v>9</v>
      </c>
      <c r="E54" s="5" t="n">
        <v>5</v>
      </c>
      <c r="F54" s="5" t="s">
        <v>10</v>
      </c>
      <c r="G54" s="11" t="n">
        <f aca="false">SQRT((D54-5)^2+(E54-6)^2)</f>
        <v>4.12310562561766</v>
      </c>
      <c r="AA54" s="5" t="n">
        <v>18</v>
      </c>
      <c r="AB54" s="5" t="n">
        <v>8</v>
      </c>
      <c r="AC54" s="5" t="n">
        <v>9</v>
      </c>
      <c r="AD54" s="5" t="s">
        <v>7</v>
      </c>
      <c r="AE54" s="11" t="n">
        <f aca="false">SQRT((AB54-4)^2+(AC54-5)^2)</f>
        <v>5.65685424949238</v>
      </c>
    </row>
    <row r="55" customFormat="false" ht="14.9" hidden="false" customHeight="false" outlineLevel="0" collapsed="false">
      <c r="C55" s="5" t="n">
        <v>18</v>
      </c>
      <c r="D55" s="5" t="n">
        <v>8</v>
      </c>
      <c r="E55" s="5" t="n">
        <v>9</v>
      </c>
      <c r="F55" s="5" t="s">
        <v>7</v>
      </c>
      <c r="G55" s="11" t="n">
        <f aca="false">SQRT((D55-5)^2+(E55-6)^2)</f>
        <v>4.24264068711929</v>
      </c>
      <c r="AA55" s="5" t="n">
        <v>10</v>
      </c>
      <c r="AB55" s="5" t="n">
        <v>10</v>
      </c>
      <c r="AC55" s="5" t="n">
        <v>5</v>
      </c>
      <c r="AD55" s="5" t="s">
        <v>7</v>
      </c>
      <c r="AE55" s="11" t="n">
        <f aca="false">SQRT((AB55-4)^2+(AC55-5)^2)</f>
        <v>6</v>
      </c>
    </row>
    <row r="56" customFormat="false" ht="14.9" hidden="false" customHeight="false" outlineLevel="0" collapsed="false">
      <c r="C56" s="5" t="n">
        <v>3</v>
      </c>
      <c r="D56" s="5" t="n">
        <v>3</v>
      </c>
      <c r="E56" s="5" t="n">
        <v>2</v>
      </c>
      <c r="F56" s="5" t="s">
        <v>7</v>
      </c>
      <c r="G56" s="11" t="n">
        <f aca="false">SQRT((D56-5)^2+(E56-6)^2)</f>
        <v>4.47213595499958</v>
      </c>
      <c r="AA56" s="5" t="n">
        <v>19</v>
      </c>
      <c r="AB56" s="5" t="n">
        <v>9</v>
      </c>
      <c r="AC56" s="5" t="n">
        <v>10</v>
      </c>
      <c r="AD56" s="5" t="s">
        <v>10</v>
      </c>
      <c r="AE56" s="11" t="n">
        <f aca="false">SQRT((AB56-4)^2+(AC56-5)^2)</f>
        <v>7.07106781186548</v>
      </c>
    </row>
    <row r="57" customFormat="false" ht="14.9" hidden="false" customHeight="false" outlineLevel="0" collapsed="false">
      <c r="C57" s="5" t="n">
        <v>10</v>
      </c>
      <c r="D57" s="5" t="n">
        <v>10</v>
      </c>
      <c r="E57" s="5" t="n">
        <v>5</v>
      </c>
      <c r="F57" s="5" t="s">
        <v>7</v>
      </c>
      <c r="G57" s="11" t="n">
        <f aca="false">SQRT((D57-5)^2+(E57-6)^2)</f>
        <v>5.09901951359278</v>
      </c>
      <c r="AA57" s="5" t="n">
        <v>20</v>
      </c>
      <c r="AB57" s="5" t="n">
        <v>10</v>
      </c>
      <c r="AC57" s="5" t="n">
        <v>10</v>
      </c>
      <c r="AD57" s="5" t="s">
        <v>7</v>
      </c>
      <c r="AE57" s="11" t="n">
        <f aca="false">SQRT((AB57-4)^2+(AC57-5)^2)</f>
        <v>7.81024967590665</v>
      </c>
    </row>
    <row r="58" customFormat="false" ht="14.9" hidden="false" customHeight="false" outlineLevel="0" collapsed="false">
      <c r="C58" s="5" t="n">
        <v>19</v>
      </c>
      <c r="D58" s="5" t="n">
        <v>9</v>
      </c>
      <c r="E58" s="5" t="n">
        <v>10</v>
      </c>
      <c r="F58" s="5" t="s">
        <v>10</v>
      </c>
      <c r="G58" s="11" t="n">
        <f aca="false">SQRT((D58-5)^2+(E58-6)^2)</f>
        <v>5.65685424949238</v>
      </c>
    </row>
    <row r="59" customFormat="false" ht="14.9" hidden="false" customHeight="false" outlineLevel="0" collapsed="false">
      <c r="C59" s="5" t="n">
        <v>2</v>
      </c>
      <c r="D59" s="5" t="n">
        <v>2</v>
      </c>
      <c r="E59" s="5" t="n">
        <v>1</v>
      </c>
      <c r="F59" s="5" t="s">
        <v>7</v>
      </c>
      <c r="G59" s="11" t="n">
        <f aca="false">SQRT((D59-5)^2+(E59-6)^2)</f>
        <v>5.8309518948453</v>
      </c>
    </row>
    <row r="60" customFormat="false" ht="14.9" hidden="false" customHeight="false" outlineLevel="0" collapsed="false">
      <c r="C60" s="5" t="n">
        <v>1</v>
      </c>
      <c r="D60" s="5" t="n">
        <v>1</v>
      </c>
      <c r="E60" s="5" t="n">
        <v>1</v>
      </c>
      <c r="F60" s="5" t="s">
        <v>7</v>
      </c>
      <c r="G60" s="11" t="n">
        <f aca="false">SQRT((D60-5)^2+(E60-6)^2)</f>
        <v>6.40312423743285</v>
      </c>
    </row>
    <row r="61" customFormat="false" ht="14.9" hidden="false" customHeight="false" outlineLevel="0" collapsed="false">
      <c r="C61" s="5" t="n">
        <v>20</v>
      </c>
      <c r="D61" s="5" t="n">
        <v>10</v>
      </c>
      <c r="E61" s="5" t="n">
        <v>10</v>
      </c>
      <c r="F61" s="5" t="s">
        <v>7</v>
      </c>
      <c r="G61" s="11" t="n">
        <f aca="false">SQRT((D61-5)^2+(E61-6)^2)</f>
        <v>6.40312423743285</v>
      </c>
    </row>
    <row r="62" customFormat="false" ht="26.8" hidden="false" customHeight="false" outlineLevel="0" collapsed="false">
      <c r="I62" s="16" t="s">
        <v>26</v>
      </c>
      <c r="J62" s="17"/>
    </row>
    <row r="63" customFormat="false" ht="15" hidden="false" customHeight="false" outlineLevel="0" collapsed="false">
      <c r="C63" s="0" t="s">
        <v>27</v>
      </c>
    </row>
    <row r="65" customFormat="false" ht="29.15" hidden="false" customHeight="true" outlineLevel="0" collapsed="false">
      <c r="C65" s="3" t="s">
        <v>2</v>
      </c>
      <c r="D65" s="3" t="s">
        <v>3</v>
      </c>
      <c r="E65" s="3" t="s">
        <v>4</v>
      </c>
      <c r="F65" s="3" t="s">
        <v>5</v>
      </c>
      <c r="H65" s="18" t="s">
        <v>2</v>
      </c>
      <c r="I65" s="18" t="s">
        <v>3</v>
      </c>
      <c r="J65" s="18" t="s">
        <v>4</v>
      </c>
      <c r="K65" s="18" t="s">
        <v>5</v>
      </c>
      <c r="L65" s="18" t="s">
        <v>28</v>
      </c>
    </row>
    <row r="66" customFormat="false" ht="13.8" hidden="false" customHeight="false" outlineLevel="0" collapsed="false">
      <c r="C66" s="5" t="n">
        <v>1</v>
      </c>
      <c r="D66" s="5" t="n">
        <v>1</v>
      </c>
      <c r="E66" s="5" t="n">
        <v>1</v>
      </c>
      <c r="F66" s="5" t="s">
        <v>7</v>
      </c>
      <c r="H66" s="19" t="n">
        <v>6</v>
      </c>
      <c r="I66" s="19" t="n">
        <v>6</v>
      </c>
      <c r="J66" s="19" t="n">
        <v>3</v>
      </c>
      <c r="K66" s="19" t="s">
        <v>10</v>
      </c>
      <c r="L66" s="20" t="n">
        <f aca="false">ABS(I66-6)+ABS(J66-5)</f>
        <v>2</v>
      </c>
    </row>
    <row r="67" customFormat="false" ht="13.8" hidden="false" customHeight="false" outlineLevel="0" collapsed="false">
      <c r="C67" s="5" t="n">
        <v>2</v>
      </c>
      <c r="D67" s="5" t="n">
        <v>2</v>
      </c>
      <c r="E67" s="5" t="n">
        <v>1</v>
      </c>
      <c r="F67" s="5" t="s">
        <v>7</v>
      </c>
      <c r="H67" s="19" t="n">
        <v>7</v>
      </c>
      <c r="I67" s="19" t="n">
        <v>7</v>
      </c>
      <c r="J67" s="19" t="n">
        <v>4</v>
      </c>
      <c r="K67" s="19" t="s">
        <v>7</v>
      </c>
      <c r="L67" s="20" t="n">
        <f aca="false">ABS(I67-6)+ABS(J67-5)</f>
        <v>2</v>
      </c>
    </row>
    <row r="68" customFormat="false" ht="13.8" hidden="false" customHeight="false" outlineLevel="0" collapsed="false">
      <c r="C68" s="5" t="n">
        <v>3</v>
      </c>
      <c r="D68" s="5" t="n">
        <v>3</v>
      </c>
      <c r="E68" s="5" t="n">
        <v>2</v>
      </c>
      <c r="F68" s="5" t="s">
        <v>7</v>
      </c>
      <c r="H68" s="19" t="n">
        <v>5</v>
      </c>
      <c r="I68" s="19" t="n">
        <v>5</v>
      </c>
      <c r="J68" s="19" t="n">
        <v>3</v>
      </c>
      <c r="K68" s="19" t="s">
        <v>10</v>
      </c>
      <c r="L68" s="20" t="n">
        <f aca="false">ABS(I68-6)+ABS(J68-5)</f>
        <v>3</v>
      </c>
    </row>
    <row r="69" customFormat="false" ht="13.8" hidden="false" customHeight="false" outlineLevel="0" collapsed="false">
      <c r="C69" s="5" t="n">
        <v>4</v>
      </c>
      <c r="D69" s="5" t="n">
        <v>4</v>
      </c>
      <c r="E69" s="5" t="n">
        <v>2</v>
      </c>
      <c r="F69" s="5" t="s">
        <v>10</v>
      </c>
      <c r="H69" s="19" t="n">
        <v>8</v>
      </c>
      <c r="I69" s="19" t="n">
        <v>8</v>
      </c>
      <c r="J69" s="19" t="n">
        <v>4</v>
      </c>
      <c r="K69" s="19" t="s">
        <v>7</v>
      </c>
      <c r="L69" s="20" t="n">
        <f aca="false">ABS(I69-6)+ABS(J69-5)</f>
        <v>3</v>
      </c>
    </row>
    <row r="70" customFormat="false" ht="13.8" hidden="false" customHeight="false" outlineLevel="0" collapsed="false">
      <c r="C70" s="5" t="n">
        <v>5</v>
      </c>
      <c r="D70" s="5" t="n">
        <v>5</v>
      </c>
      <c r="E70" s="5" t="n">
        <v>3</v>
      </c>
      <c r="F70" s="5" t="s">
        <v>10</v>
      </c>
      <c r="H70" s="19" t="n">
        <v>9</v>
      </c>
      <c r="I70" s="19" t="n">
        <v>9</v>
      </c>
      <c r="J70" s="19" t="n">
        <v>5</v>
      </c>
      <c r="K70" s="19" t="s">
        <v>10</v>
      </c>
      <c r="L70" s="20" t="n">
        <f aca="false">ABS(I70-6)+ABS(J70-5)</f>
        <v>3</v>
      </c>
    </row>
    <row r="71" customFormat="false" ht="14.9" hidden="false" customHeight="false" outlineLevel="0" collapsed="false">
      <c r="C71" s="5" t="n">
        <v>6</v>
      </c>
      <c r="D71" s="5" t="n">
        <v>6</v>
      </c>
      <c r="E71" s="5" t="n">
        <v>3</v>
      </c>
      <c r="F71" s="5" t="s">
        <v>10</v>
      </c>
      <c r="H71" s="5" t="n">
        <v>16</v>
      </c>
      <c r="I71" s="5" t="n">
        <v>6</v>
      </c>
      <c r="J71" s="5" t="n">
        <v>8</v>
      </c>
      <c r="K71" s="5" t="s">
        <v>10</v>
      </c>
      <c r="L71" s="11" t="n">
        <f aca="false">ABS(I71-6)+ABS(J71-5)</f>
        <v>3</v>
      </c>
    </row>
    <row r="72" customFormat="false" ht="14.9" hidden="false" customHeight="false" outlineLevel="0" collapsed="false">
      <c r="C72" s="5" t="n">
        <v>7</v>
      </c>
      <c r="D72" s="5" t="n">
        <v>7</v>
      </c>
      <c r="E72" s="5" t="n">
        <v>4</v>
      </c>
      <c r="F72" s="5" t="s">
        <v>7</v>
      </c>
      <c r="H72" s="5" t="n">
        <v>10</v>
      </c>
      <c r="I72" s="5" t="n">
        <v>10</v>
      </c>
      <c r="J72" s="5" t="n">
        <v>5</v>
      </c>
      <c r="K72" s="5" t="s">
        <v>7</v>
      </c>
      <c r="L72" s="11" t="n">
        <f aca="false">ABS(I72-6)+ABS(J72-5)</f>
        <v>4</v>
      </c>
    </row>
    <row r="73" customFormat="false" ht="14.9" hidden="false" customHeight="false" outlineLevel="0" collapsed="false">
      <c r="C73" s="5" t="n">
        <v>8</v>
      </c>
      <c r="D73" s="5" t="n">
        <v>8</v>
      </c>
      <c r="E73" s="5" t="n">
        <v>4</v>
      </c>
      <c r="F73" s="5" t="s">
        <v>7</v>
      </c>
      <c r="H73" s="5" t="n">
        <v>14</v>
      </c>
      <c r="I73" s="5" t="n">
        <v>4</v>
      </c>
      <c r="J73" s="5" t="n">
        <v>7</v>
      </c>
      <c r="K73" s="5" t="s">
        <v>7</v>
      </c>
      <c r="L73" s="11" t="n">
        <f aca="false">ABS(I73-6)+ABS(J73-5)</f>
        <v>4</v>
      </c>
    </row>
    <row r="74" customFormat="false" ht="14.9" hidden="false" customHeight="false" outlineLevel="0" collapsed="false">
      <c r="C74" s="5" t="n">
        <v>9</v>
      </c>
      <c r="D74" s="5" t="n">
        <v>9</v>
      </c>
      <c r="E74" s="5" t="n">
        <v>5</v>
      </c>
      <c r="F74" s="5" t="s">
        <v>10</v>
      </c>
      <c r="H74" s="5" t="n">
        <v>15</v>
      </c>
      <c r="I74" s="5" t="n">
        <v>5</v>
      </c>
      <c r="J74" s="5" t="n">
        <v>8</v>
      </c>
      <c r="K74" s="5" t="s">
        <v>10</v>
      </c>
      <c r="L74" s="11" t="n">
        <f aca="false">ABS(I74-6)+ABS(J74-5)</f>
        <v>4</v>
      </c>
    </row>
    <row r="75" customFormat="false" ht="14.9" hidden="false" customHeight="false" outlineLevel="0" collapsed="false">
      <c r="C75" s="5" t="n">
        <v>10</v>
      </c>
      <c r="D75" s="5" t="n">
        <v>10</v>
      </c>
      <c r="E75" s="5" t="n">
        <v>5</v>
      </c>
      <c r="F75" s="5" t="s">
        <v>7</v>
      </c>
      <c r="H75" s="5" t="n">
        <v>4</v>
      </c>
      <c r="I75" s="5" t="n">
        <v>4</v>
      </c>
      <c r="J75" s="5" t="n">
        <v>2</v>
      </c>
      <c r="K75" s="5" t="s">
        <v>10</v>
      </c>
      <c r="L75" s="11" t="n">
        <f aca="false">ABS(I75-6)+ABS(J75-5)</f>
        <v>5</v>
      </c>
    </row>
    <row r="76" customFormat="false" ht="14.9" hidden="false" customHeight="false" outlineLevel="0" collapsed="false">
      <c r="C76" s="5" t="n">
        <v>11</v>
      </c>
      <c r="D76" s="5" t="n">
        <v>1</v>
      </c>
      <c r="E76" s="5" t="n">
        <v>6</v>
      </c>
      <c r="F76" s="5" t="s">
        <v>10</v>
      </c>
      <c r="H76" s="5" t="n">
        <v>12</v>
      </c>
      <c r="I76" s="5" t="n">
        <v>2</v>
      </c>
      <c r="J76" s="5" t="n">
        <v>6</v>
      </c>
      <c r="K76" s="5" t="s">
        <v>10</v>
      </c>
      <c r="L76" s="11" t="n">
        <f aca="false">ABS(I76-6)+ABS(J76-5)</f>
        <v>5</v>
      </c>
    </row>
    <row r="77" customFormat="false" ht="14.9" hidden="false" customHeight="false" outlineLevel="0" collapsed="false">
      <c r="C77" s="5" t="n">
        <v>12</v>
      </c>
      <c r="D77" s="5" t="n">
        <v>2</v>
      </c>
      <c r="E77" s="5" t="n">
        <v>6</v>
      </c>
      <c r="F77" s="5" t="s">
        <v>10</v>
      </c>
      <c r="H77" s="5" t="n">
        <v>13</v>
      </c>
      <c r="I77" s="5" t="n">
        <v>3</v>
      </c>
      <c r="J77" s="5" t="n">
        <v>7</v>
      </c>
      <c r="K77" s="5" t="s">
        <v>7</v>
      </c>
      <c r="L77" s="11" t="n">
        <f aca="false">ABS(I77-6)+ABS(J77-5)</f>
        <v>5</v>
      </c>
    </row>
    <row r="78" customFormat="false" ht="14.9" hidden="false" customHeight="false" outlineLevel="0" collapsed="false">
      <c r="C78" s="5" t="n">
        <v>13</v>
      </c>
      <c r="D78" s="5" t="n">
        <v>3</v>
      </c>
      <c r="E78" s="5" t="n">
        <v>7</v>
      </c>
      <c r="F78" s="5" t="s">
        <v>7</v>
      </c>
      <c r="H78" s="5" t="n">
        <v>17</v>
      </c>
      <c r="I78" s="5" t="n">
        <v>7</v>
      </c>
      <c r="J78" s="5" t="n">
        <v>9</v>
      </c>
      <c r="K78" s="5" t="s">
        <v>7</v>
      </c>
      <c r="L78" s="11" t="n">
        <f aca="false">ABS(I78-6)+ABS(J78-5)</f>
        <v>5</v>
      </c>
    </row>
    <row r="79" customFormat="false" ht="14.9" hidden="false" customHeight="false" outlineLevel="0" collapsed="false">
      <c r="C79" s="5" t="n">
        <v>14</v>
      </c>
      <c r="D79" s="5" t="n">
        <v>4</v>
      </c>
      <c r="E79" s="5" t="n">
        <v>7</v>
      </c>
      <c r="F79" s="5" t="s">
        <v>7</v>
      </c>
      <c r="H79" s="5" t="n">
        <v>3</v>
      </c>
      <c r="I79" s="5" t="n">
        <v>3</v>
      </c>
      <c r="J79" s="5" t="n">
        <v>2</v>
      </c>
      <c r="K79" s="5" t="s">
        <v>7</v>
      </c>
      <c r="L79" s="11" t="n">
        <f aca="false">ABS(I79-6)+ABS(J79-5)</f>
        <v>6</v>
      </c>
    </row>
    <row r="80" customFormat="false" ht="14.9" hidden="false" customHeight="false" outlineLevel="0" collapsed="false">
      <c r="C80" s="5" t="n">
        <v>15</v>
      </c>
      <c r="D80" s="5" t="n">
        <v>5</v>
      </c>
      <c r="E80" s="5" t="n">
        <v>8</v>
      </c>
      <c r="F80" s="5" t="s">
        <v>10</v>
      </c>
      <c r="H80" s="5" t="n">
        <v>11</v>
      </c>
      <c r="I80" s="5" t="n">
        <v>1</v>
      </c>
      <c r="J80" s="5" t="n">
        <v>6</v>
      </c>
      <c r="K80" s="5" t="s">
        <v>10</v>
      </c>
      <c r="L80" s="11" t="n">
        <f aca="false">ABS(I80-6)+ABS(J80-5)</f>
        <v>6</v>
      </c>
    </row>
    <row r="81" customFormat="false" ht="14.9" hidden="false" customHeight="false" outlineLevel="0" collapsed="false">
      <c r="C81" s="5" t="n">
        <v>16</v>
      </c>
      <c r="D81" s="5" t="n">
        <v>6</v>
      </c>
      <c r="E81" s="5" t="n">
        <v>8</v>
      </c>
      <c r="F81" s="5" t="s">
        <v>10</v>
      </c>
      <c r="H81" s="5" t="n">
        <v>18</v>
      </c>
      <c r="I81" s="5" t="n">
        <v>8</v>
      </c>
      <c r="J81" s="5" t="n">
        <v>9</v>
      </c>
      <c r="K81" s="5" t="s">
        <v>7</v>
      </c>
      <c r="L81" s="11" t="n">
        <f aca="false">ABS(I81-6)+ABS(J81-5)</f>
        <v>6</v>
      </c>
    </row>
    <row r="82" customFormat="false" ht="14.9" hidden="false" customHeight="false" outlineLevel="0" collapsed="false">
      <c r="C82" s="5" t="n">
        <v>17</v>
      </c>
      <c r="D82" s="5" t="n">
        <v>7</v>
      </c>
      <c r="E82" s="5" t="n">
        <v>9</v>
      </c>
      <c r="F82" s="5" t="s">
        <v>7</v>
      </c>
      <c r="H82" s="5" t="n">
        <v>2</v>
      </c>
      <c r="I82" s="5" t="n">
        <v>2</v>
      </c>
      <c r="J82" s="5" t="n">
        <v>1</v>
      </c>
      <c r="K82" s="5" t="s">
        <v>7</v>
      </c>
      <c r="L82" s="11" t="n">
        <f aca="false">ABS(I82-6)+ABS(J82-5)</f>
        <v>8</v>
      </c>
    </row>
    <row r="83" customFormat="false" ht="14.9" hidden="false" customHeight="false" outlineLevel="0" collapsed="false">
      <c r="C83" s="5" t="n">
        <v>18</v>
      </c>
      <c r="D83" s="5" t="n">
        <v>8</v>
      </c>
      <c r="E83" s="5" t="n">
        <v>9</v>
      </c>
      <c r="F83" s="5" t="s">
        <v>7</v>
      </c>
      <c r="H83" s="5" t="n">
        <v>19</v>
      </c>
      <c r="I83" s="5" t="n">
        <v>9</v>
      </c>
      <c r="J83" s="5" t="n">
        <v>10</v>
      </c>
      <c r="K83" s="5" t="s">
        <v>10</v>
      </c>
      <c r="L83" s="11" t="n">
        <f aca="false">ABS(I83-6)+ABS(J83-5)</f>
        <v>8</v>
      </c>
    </row>
    <row r="84" customFormat="false" ht="14.9" hidden="false" customHeight="false" outlineLevel="0" collapsed="false">
      <c r="C84" s="5" t="n">
        <v>19</v>
      </c>
      <c r="D84" s="5" t="n">
        <v>9</v>
      </c>
      <c r="E84" s="5" t="n">
        <v>10</v>
      </c>
      <c r="F84" s="5" t="s">
        <v>10</v>
      </c>
      <c r="H84" s="5" t="n">
        <v>1</v>
      </c>
      <c r="I84" s="5" t="n">
        <v>1</v>
      </c>
      <c r="J84" s="5" t="n">
        <v>1</v>
      </c>
      <c r="K84" s="5" t="s">
        <v>7</v>
      </c>
      <c r="L84" s="11" t="n">
        <f aca="false">ABS(I84-6)+ABS(J84-5)</f>
        <v>9</v>
      </c>
    </row>
    <row r="85" customFormat="false" ht="14.9" hidden="false" customHeight="false" outlineLevel="0" collapsed="false">
      <c r="C85" s="5" t="n">
        <v>20</v>
      </c>
      <c r="D85" s="5" t="n">
        <v>10</v>
      </c>
      <c r="E85" s="5" t="n">
        <v>10</v>
      </c>
      <c r="F85" s="5" t="s">
        <v>7</v>
      </c>
      <c r="H85" s="5" t="n">
        <v>20</v>
      </c>
      <c r="I85" s="5" t="n">
        <v>10</v>
      </c>
      <c r="J85" s="5" t="n">
        <v>10</v>
      </c>
      <c r="K85" s="5" t="s">
        <v>7</v>
      </c>
      <c r="L85" s="11" t="n">
        <f aca="false">ABS(I85-6)+ABS(J85-5)</f>
        <v>9</v>
      </c>
    </row>
  </sheetData>
  <mergeCells count="7">
    <mergeCell ref="J2:N2"/>
    <mergeCell ref="H9:I9"/>
    <mergeCell ref="O9:S10"/>
    <mergeCell ref="AA9:AD9"/>
    <mergeCell ref="H10:M11"/>
    <mergeCell ref="U26:Z27"/>
    <mergeCell ref="AA34:AD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2025-03-25T06:11:06Z</dcterms:created>
  <dc:creator>HP</dc:creator>
  <dc:description/>
  <dc:language>en-US</dc:language>
  <cp:lastModifiedBy/>
  <dcterms:modified xsi:type="dcterms:W3CDTF">2026-04-20T18:42:52Z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